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50" documentId="11_3C4179B01545E19DD6C385890107473B0B440F85" xr6:coauthVersionLast="47" xr6:coauthVersionMax="47" xr10:uidLastSave="{2AF6883C-46B6-48C1-8373-CA827A97DEC9}"/>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E21" i="11" s="1"/>
  <c r="F21" i="11" l="1"/>
  <c r="E22" i="11" s="1"/>
  <c r="E23" i="11" s="1"/>
  <c r="F9" i="11"/>
  <c r="E10" i="11" s="1"/>
  <c r="I5" i="11"/>
  <c r="H33" i="11"/>
  <c r="H32" i="11"/>
  <c r="H26" i="11"/>
  <c r="H20" i="11"/>
  <c r="H14" i="11"/>
  <c r="H8" i="11"/>
  <c r="H21" i="11" l="1"/>
  <c r="F22" i="11"/>
  <c r="H22" i="11" s="1"/>
  <c r="H9" i="11"/>
  <c r="F23" i="11"/>
  <c r="E25" i="11"/>
  <c r="F10" i="11"/>
  <c r="E11" i="11" s="1"/>
  <c r="E13" i="11"/>
  <c r="E15" i="11" s="1"/>
  <c r="E16" i="11" s="1"/>
  <c r="I6" i="11"/>
  <c r="H31" i="11" l="1"/>
  <c r="H28" i="11"/>
  <c r="H30" i="11"/>
  <c r="H27" i="11"/>
  <c r="F25" i="11"/>
  <c r="H25" i="11" s="1"/>
  <c r="H10" i="11"/>
  <c r="E24" i="11"/>
  <c r="H23" i="11"/>
  <c r="F16" i="11"/>
  <c r="F15" i="11"/>
  <c r="H15" i="11" s="1"/>
  <c r="F13" i="11"/>
  <c r="H13" i="11" s="1"/>
  <c r="F11" i="11"/>
  <c r="E12" i="11" s="1"/>
  <c r="J5" i="11"/>
  <c r="K5" i="11" s="1"/>
  <c r="L5" i="11" s="1"/>
  <c r="M5" i="11" s="1"/>
  <c r="N5" i="11" s="1"/>
  <c r="O5" i="11" s="1"/>
  <c r="P5" i="11" s="1"/>
  <c r="I4" i="11"/>
  <c r="H29" i="11" l="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W6" i="11"/>
  <c r="S6" i="11"/>
  <c r="AX6" i="11" l="1"/>
  <c r="T6" i="11"/>
  <c r="U6" i="11" l="1"/>
  <c r="V6" i="11" l="1"/>
  <c r="W6" i="11" l="1"/>
  <c r="X6" i="11" l="1"/>
  <c r="Y6" i="11" l="1"/>
  <c r="Z6" i="11" l="1"/>
  <c r="AA6" i="11" l="1"/>
  <c r="AB6" i="11" l="1"/>
  <c r="AC6" i="11" l="1"/>
  <c r="AD6" i="11" l="1"/>
  <c r="AE6" i="11" l="1"/>
  <c r="AF6" i="11" l="1"/>
  <c r="AG6" i="11" l="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<sst xmlns="http://schemas.openxmlformats.org/spreadsheetml/2006/main" count="69" uniqueCount="53">
  <si>
    <t>Digital Design</t>
  </si>
  <si>
    <t>Project start:</t>
  </si>
  <si>
    <t>SCOMP ADC Peripheral</t>
  </si>
  <si>
    <t>Display week:</t>
  </si>
  <si>
    <t>TASK</t>
  </si>
  <si>
    <t>ASSIGNED TO</t>
  </si>
  <si>
    <t>PROGRESS</t>
  </si>
  <si>
    <t>START</t>
  </si>
  <si>
    <t>END</t>
  </si>
  <si>
    <t xml:space="preserve">Do not delete this row. This row is hidden to preserve a formula that is used to highlight the current day within the project schedule. </t>
  </si>
  <si>
    <t>Initiation</t>
  </si>
  <si>
    <t>Define project goals</t>
  </si>
  <si>
    <t>Gokce Aslan</t>
  </si>
  <si>
    <t>Review project requirements</t>
  </si>
  <si>
    <t>Hayden Cook</t>
  </si>
  <si>
    <t>Study SCOMP and LTC2308</t>
  </si>
  <si>
    <t>Jens Martensson</t>
  </si>
  <si>
    <t>Identify system constraints</t>
  </si>
  <si>
    <t>Nuria Acevedo</t>
  </si>
  <si>
    <t>Establish team comms</t>
  </si>
  <si>
    <t>Olivia Wilson</t>
  </si>
  <si>
    <t>Planning and design</t>
  </si>
  <si>
    <t>Define register map</t>
  </si>
  <si>
    <t>Define ADC-to-SCOMP interface</t>
  </si>
  <si>
    <t>Design controller state machine</t>
  </si>
  <si>
    <t>Develop assembly access strategy</t>
  </si>
  <si>
    <t>Draw Schematic</t>
  </si>
  <si>
    <t>Execution</t>
  </si>
  <si>
    <t>Implement ADC controller VHDL</t>
  </si>
  <si>
    <t>Implement SCOMP peripheral wrapper</t>
  </si>
  <si>
    <t>Implement address decoding logic</t>
  </si>
  <si>
    <t>Implement channel data registers</t>
  </si>
  <si>
    <t>Integrate peripheral into Top_SCOMP</t>
  </si>
  <si>
    <t>Evaluation</t>
  </si>
  <si>
    <t>Calidate ADC read accuracy</t>
  </si>
  <si>
    <t>Improve peripheral</t>
  </si>
  <si>
    <t>Debug timing and integration issues</t>
  </si>
  <si>
    <t>Rehearse final presenation and demo</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</si>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</sst>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19" xfId="0" applyNumberFormat="1" applyFont="1" applyFill="1" applyBorder="1" applyAlignment="1">
      <alignment horizontal="center" vertical="center"/>
    </xf>
    <xf numFmtId="167" fontId="21" fillId="12" borderId="17"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11" borderId="15" xfId="0" applyFont="1" applyFill="1" applyBorder="1" applyAlignment="1">
      <alignment vertical="center"/>
    </xf>
    <xf numFmtId="0" fontId="20" fillId="11" borderId="15"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20" xfId="0" applyFont="1" applyFill="1" applyBorder="1" applyAlignment="1"/>
  </cellXfs>
  <cellStyles count="13">
    <cellStyle name="Date" xfId="10" xr:uid="{229918B6-DD13-4F5A-97B9-305F7E002AA3}"/>
    <cellStyle name="Name" xfId="11" xr:uid="{B2D3C1EE-6B41-4801-AAFC-C2274E49E503}"/>
    <cellStyle name="Project Start" xfId="9" xr:uid="{8EB8A09A-C31C-40A3-B2C1-9449520178B8}"/>
    <cellStyle name="Task" xfId="12" xr:uid="{6391D789-272B-4DD2-9BF3-2CDCF610FA41}"/>
    <cellStyle name="zHiddenText" xfId="3" xr:uid="{26E66EE6-E33F-4D77-BAE4-0FB4F5BBF673}"/>
    <cellStyle name="백분율" xfId="2" builtinId="5"/>
    <cellStyle name="쉼표" xfId="4" builtinId="3" customBuiltin="1"/>
    <cellStyle name="제목" xfId="5" builtinId="15" customBuiltin="1"/>
    <cellStyle name="제목 1" xfId="6" builtinId="16" customBuiltin="1"/>
    <cellStyle name="제목 2" xfId="7" builtinId="17" customBuiltin="1"/>
    <cellStyle name="제목 3" xfId="8" builtinId="18" customBuiltin="1"/>
    <cellStyle name="표준" xfId="0" builtinId="0"/>
    <cellStyle name="하이퍼링크" xfId="1" builtinId="8" customBuiltin="1"/>
  </cellStyles>
  <dxfs count="27">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X36"/>
  <sheetViews>
    <sheetView showGridLines="0" tabSelected="1" showRuler="0" zoomScaleNormal="100" zoomScalePageLayoutView="70" workbookViewId="0">
      <selection activeCell="D11" sqref="D11"/>
    </sheetView>
  </sheetViews>
  <sheetFormatPr defaultColWidth="8.75" defaultRowHeight="30" customHeight="1"/>
  <cols>
    <col min="1" max="1" width="2.75" style="13" customWidth="1"/>
    <col min="2" max="2" width="29.5" customWidth="1"/>
    <col min="3" max="3" width="16.75" customWidth="1"/>
    <col min="4" max="4" width="10.75" customWidth="1"/>
    <col min="5" max="5" width="10.75" style="2" customWidth="1"/>
    <col min="6" max="6" width="10.75" customWidth="1"/>
    <col min="7" max="7" width="2.75" customWidth="1"/>
    <col min="8" max="8" width="6" hidden="1" customWidth="1"/>
    <col min="9" max="51" width="2.75" customWidth="1"/>
  </cols>
  <sheetData>
    <row r="1" spans="1:50" ht="90" customHeight="1">
      <c r="A1" s="14"/>
      <c r="B1" s="97" t="s">
        <v>0</v>
      </c>
      <c r="C1" s="18"/>
      <c r="D1" s="19"/>
      <c r="E1" s="20"/>
      <c r="F1" s="21"/>
      <c r="H1" s="1"/>
      <c r="I1" s="112" t="s">
        <v>1</v>
      </c>
      <c r="J1" s="115"/>
      <c r="K1" s="115"/>
      <c r="L1" s="115"/>
      <c r="M1" s="115"/>
      <c r="N1" s="115"/>
      <c r="O1" s="115"/>
      <c r="P1" s="24"/>
      <c r="Q1" s="111">
        <v>46097</v>
      </c>
      <c r="R1" s="116"/>
      <c r="S1" s="116"/>
      <c r="T1" s="116"/>
      <c r="U1" s="116"/>
      <c r="V1" s="116"/>
      <c r="W1" s="116"/>
      <c r="X1" s="116"/>
      <c r="Y1" s="116"/>
      <c r="Z1" s="116"/>
    </row>
    <row r="2" spans="1:50" ht="30" customHeight="1">
      <c r="B2" s="95" t="s">
        <v>2</v>
      </c>
      <c r="C2" s="96"/>
      <c r="D2" s="22"/>
      <c r="E2" s="23"/>
      <c r="F2" s="22"/>
      <c r="I2" s="112" t="s">
        <v>3</v>
      </c>
      <c r="J2" s="115"/>
      <c r="K2" s="115"/>
      <c r="L2" s="115"/>
      <c r="M2" s="115"/>
      <c r="N2" s="115"/>
      <c r="O2" s="115"/>
      <c r="P2" s="24"/>
      <c r="Q2" s="110">
        <v>1</v>
      </c>
      <c r="R2" s="116"/>
      <c r="S2" s="116"/>
      <c r="T2" s="116"/>
      <c r="U2" s="116"/>
      <c r="V2" s="116"/>
      <c r="W2" s="116"/>
      <c r="X2" s="116"/>
      <c r="Y2" s="116"/>
      <c r="Z2" s="116"/>
    </row>
    <row r="3" spans="1:50" s="26" customFormat="1" ht="30" customHeight="1">
      <c r="A3" s="13"/>
      <c r="B3" s="25"/>
      <c r="D3" s="27"/>
      <c r="E3" s="28"/>
    </row>
    <row r="4" spans="1:50" s="26" customFormat="1" ht="30" customHeight="1">
      <c r="A4" s="14"/>
      <c r="B4" s="29"/>
      <c r="E4" s="30"/>
      <c r="I4" s="114">
        <f>I5</f>
        <v>46097</v>
      </c>
      <c r="J4" s="113"/>
      <c r="K4" s="113"/>
      <c r="L4" s="113"/>
      <c r="M4" s="113"/>
      <c r="N4" s="113"/>
      <c r="O4" s="113"/>
      <c r="P4" s="113">
        <f>P5</f>
        <v>46104</v>
      </c>
      <c r="Q4" s="113"/>
      <c r="R4" s="113"/>
      <c r="S4" s="113"/>
      <c r="T4" s="113"/>
      <c r="U4" s="113"/>
      <c r="V4" s="113"/>
      <c r="W4" s="113">
        <f>W5</f>
        <v>46111</v>
      </c>
      <c r="X4" s="113"/>
      <c r="Y4" s="113"/>
      <c r="Z4" s="113"/>
      <c r="AA4" s="113"/>
      <c r="AB4" s="113"/>
      <c r="AC4" s="113"/>
      <c r="AD4" s="113">
        <f>AD5</f>
        <v>46118</v>
      </c>
      <c r="AE4" s="113"/>
      <c r="AF4" s="113"/>
      <c r="AG4" s="113"/>
      <c r="AH4" s="113"/>
      <c r="AI4" s="113"/>
      <c r="AJ4" s="113"/>
      <c r="AK4" s="113">
        <f>AK5</f>
        <v>46125</v>
      </c>
      <c r="AL4" s="113"/>
      <c r="AM4" s="113"/>
      <c r="AN4" s="113"/>
      <c r="AO4" s="113"/>
      <c r="AP4" s="113"/>
      <c r="AQ4" s="113"/>
      <c r="AR4" s="113">
        <f>AR5</f>
        <v>46132</v>
      </c>
      <c r="AS4" s="113"/>
      <c r="AT4" s="113"/>
      <c r="AU4" s="113"/>
      <c r="AV4" s="113"/>
      <c r="AW4" s="113"/>
      <c r="AX4" s="113"/>
    </row>
    <row r="5" spans="1:50" s="26" customFormat="1" ht="15" customHeight="1">
      <c r="A5" s="105"/>
      <c r="B5" s="106" t="s">
        <v>4</v>
      </c>
      <c r="C5" s="108" t="s">
        <v>5</v>
      </c>
      <c r="D5" s="109" t="s">
        <v>6</v>
      </c>
      <c r="E5" s="109" t="s">
        <v>7</v>
      </c>
      <c r="F5" s="109" t="s">
        <v>8</v>
      </c>
      <c r="I5" s="31">
        <f>Project_Start-WEEKDAY(Project_Start,1)+2+7*(Display_Week-1)</f>
        <v>46097</v>
      </c>
      <c r="J5" s="31">
        <f>I5+1</f>
        <v>46098</v>
      </c>
      <c r="K5" s="31">
        <f t="shared" ref="K5:AX5" si="0">J5+1</f>
        <v>46099</v>
      </c>
      <c r="L5" s="31">
        <f t="shared" si="0"/>
        <v>46100</v>
      </c>
      <c r="M5" s="31">
        <f t="shared" si="0"/>
        <v>46101</v>
      </c>
      <c r="N5" s="31">
        <f t="shared" si="0"/>
        <v>46102</v>
      </c>
      <c r="O5" s="32">
        <f t="shared" si="0"/>
        <v>46103</v>
      </c>
      <c r="P5" s="33">
        <f>O5+1</f>
        <v>46104</v>
      </c>
      <c r="Q5" s="31">
        <f>P5+1</f>
        <v>46105</v>
      </c>
      <c r="R5" s="31">
        <f t="shared" si="0"/>
        <v>46106</v>
      </c>
      <c r="S5" s="31">
        <f t="shared" si="0"/>
        <v>46107</v>
      </c>
      <c r="T5" s="31">
        <f t="shared" si="0"/>
        <v>46108</v>
      </c>
      <c r="U5" s="31">
        <f t="shared" si="0"/>
        <v>46109</v>
      </c>
      <c r="V5" s="32">
        <f t="shared" si="0"/>
        <v>46110</v>
      </c>
      <c r="W5" s="33">
        <f>V5+1</f>
        <v>46111</v>
      </c>
      <c r="X5" s="31">
        <f>W5+1</f>
        <v>46112</v>
      </c>
      <c r="Y5" s="31">
        <f t="shared" si="0"/>
        <v>46113</v>
      </c>
      <c r="Z5" s="31">
        <f t="shared" si="0"/>
        <v>46114</v>
      </c>
      <c r="AA5" s="31">
        <f t="shared" si="0"/>
        <v>46115</v>
      </c>
      <c r="AB5" s="31">
        <f t="shared" si="0"/>
        <v>46116</v>
      </c>
      <c r="AC5" s="32">
        <f t="shared" si="0"/>
        <v>46117</v>
      </c>
      <c r="AD5" s="33">
        <f>AC5+1</f>
        <v>46118</v>
      </c>
      <c r="AE5" s="31">
        <f>AD5+1</f>
        <v>46119</v>
      </c>
      <c r="AF5" s="31">
        <f t="shared" si="0"/>
        <v>46120</v>
      </c>
      <c r="AG5" s="31">
        <f t="shared" si="0"/>
        <v>46121</v>
      </c>
      <c r="AH5" s="31">
        <f t="shared" si="0"/>
        <v>46122</v>
      </c>
      <c r="AI5" s="31">
        <f t="shared" si="0"/>
        <v>46123</v>
      </c>
      <c r="AJ5" s="32">
        <f t="shared" si="0"/>
        <v>46124</v>
      </c>
      <c r="AK5" s="33">
        <f>AJ5+1</f>
        <v>46125</v>
      </c>
      <c r="AL5" s="31">
        <f>AK5+1</f>
        <v>46126</v>
      </c>
      <c r="AM5" s="31">
        <f t="shared" si="0"/>
        <v>46127</v>
      </c>
      <c r="AN5" s="31">
        <f t="shared" si="0"/>
        <v>46128</v>
      </c>
      <c r="AO5" s="31">
        <f t="shared" si="0"/>
        <v>46129</v>
      </c>
      <c r="AP5" s="31">
        <f t="shared" si="0"/>
        <v>46130</v>
      </c>
      <c r="AQ5" s="32">
        <f t="shared" si="0"/>
        <v>46131</v>
      </c>
      <c r="AR5" s="33">
        <f>AQ5+1</f>
        <v>46132</v>
      </c>
      <c r="AS5" s="31">
        <f>AR5+1</f>
        <v>46133</v>
      </c>
      <c r="AT5" s="31">
        <f t="shared" si="0"/>
        <v>46134</v>
      </c>
      <c r="AU5" s="31">
        <f t="shared" si="0"/>
        <v>46135</v>
      </c>
      <c r="AV5" s="31">
        <f t="shared" si="0"/>
        <v>46136</v>
      </c>
      <c r="AW5" s="31">
        <f t="shared" si="0"/>
        <v>46137</v>
      </c>
      <c r="AX5" s="32">
        <f t="shared" si="0"/>
        <v>46138</v>
      </c>
    </row>
    <row r="6" spans="1:50" s="26" customFormat="1" ht="15" customHeight="1">
      <c r="A6" s="105"/>
      <c r="B6" s="107"/>
      <c r="C6" s="117"/>
      <c r="D6" s="117"/>
      <c r="E6" s="117"/>
      <c r="F6" s="117"/>
      <c r="I6" s="34" t="str">
        <f t="shared" ref="I6:AN6" si="1">LEFT(TEXT(I5,"ddd"),1)</f>
        <v>M</v>
      </c>
      <c r="J6" s="35" t="str">
        <f t="shared" si="1"/>
        <v>T</v>
      </c>
      <c r="K6" s="35" t="str">
        <f t="shared" si="1"/>
        <v>W</v>
      </c>
      <c r="L6" s="35" t="str">
        <f t="shared" si="1"/>
        <v>T</v>
      </c>
      <c r="M6" s="35" t="str">
        <f t="shared" si="1"/>
        <v>F</v>
      </c>
      <c r="N6" s="35" t="str">
        <f t="shared" si="1"/>
        <v>S</v>
      </c>
      <c r="O6" s="35" t="str">
        <f t="shared" si="1"/>
        <v>S</v>
      </c>
      <c r="P6" s="35" t="str">
        <f t="shared" si="1"/>
        <v>M</v>
      </c>
      <c r="Q6" s="35" t="str">
        <f t="shared" si="1"/>
        <v>T</v>
      </c>
      <c r="R6" s="35" t="str">
        <f t="shared" si="1"/>
        <v>W</v>
      </c>
      <c r="S6" s="35" t="str">
        <f t="shared" si="1"/>
        <v>T</v>
      </c>
      <c r="T6" s="35" t="str">
        <f t="shared" si="1"/>
        <v>F</v>
      </c>
      <c r="U6" s="35" t="str">
        <f t="shared" si="1"/>
        <v>S</v>
      </c>
      <c r="V6" s="35" t="str">
        <f t="shared" si="1"/>
        <v>S</v>
      </c>
      <c r="W6" s="35" t="str">
        <f t="shared" si="1"/>
        <v>M</v>
      </c>
      <c r="X6" s="35" t="str">
        <f t="shared" si="1"/>
        <v>T</v>
      </c>
      <c r="Y6" s="35" t="str">
        <f t="shared" si="1"/>
        <v>W</v>
      </c>
      <c r="Z6" s="35" t="str">
        <f t="shared" si="1"/>
        <v>T</v>
      </c>
      <c r="AA6" s="35" t="str">
        <f t="shared" si="1"/>
        <v>F</v>
      </c>
      <c r="AB6" s="35" t="str">
        <f t="shared" si="1"/>
        <v>S</v>
      </c>
      <c r="AC6" s="35" t="str">
        <f t="shared" si="1"/>
        <v>S</v>
      </c>
      <c r="AD6" s="35" t="str">
        <f t="shared" si="1"/>
        <v>M</v>
      </c>
      <c r="AE6" s="35" t="str">
        <f t="shared" si="1"/>
        <v>T</v>
      </c>
      <c r="AF6" s="35" t="str">
        <f t="shared" si="1"/>
        <v>W</v>
      </c>
      <c r="AG6" s="35" t="str">
        <f t="shared" si="1"/>
        <v>T</v>
      </c>
      <c r="AH6" s="35" t="str">
        <f t="shared" si="1"/>
        <v>F</v>
      </c>
      <c r="AI6" s="35" t="str">
        <f t="shared" si="1"/>
        <v>S</v>
      </c>
      <c r="AJ6" s="35" t="str">
        <f t="shared" si="1"/>
        <v>S</v>
      </c>
      <c r="AK6" s="35" t="str">
        <f t="shared" si="1"/>
        <v>M</v>
      </c>
      <c r="AL6" s="35" t="str">
        <f t="shared" si="1"/>
        <v>T</v>
      </c>
      <c r="AM6" s="35" t="str">
        <f t="shared" si="1"/>
        <v>W</v>
      </c>
      <c r="AN6" s="35" t="str">
        <f t="shared" si="1"/>
        <v>T</v>
      </c>
      <c r="AO6" s="35" t="str">
        <f t="shared" ref="AO6:AX6" si="2">LEFT(TEXT(AO5,"ddd"),1)</f>
        <v>F</v>
      </c>
      <c r="AP6" s="35" t="str">
        <f t="shared" si="2"/>
        <v>S</v>
      </c>
      <c r="AQ6" s="35" t="str">
        <f t="shared" si="2"/>
        <v>S</v>
      </c>
      <c r="AR6" s="35" t="str">
        <f t="shared" si="2"/>
        <v>M</v>
      </c>
      <c r="AS6" s="35" t="str">
        <f t="shared" si="2"/>
        <v>T</v>
      </c>
      <c r="AT6" s="35" t="str">
        <f t="shared" si="2"/>
        <v>W</v>
      </c>
      <c r="AU6" s="35" t="str">
        <f t="shared" si="2"/>
        <v>T</v>
      </c>
      <c r="AV6" s="35" t="str">
        <f t="shared" si="2"/>
        <v>F</v>
      </c>
      <c r="AW6" s="35" t="str">
        <f t="shared" si="2"/>
        <v>S</v>
      </c>
      <c r="AX6" s="35" t="str">
        <f t="shared" si="2"/>
        <v>S</v>
      </c>
    </row>
    <row r="7" spans="1:50" s="26" customFormat="1" ht="30" hidden="1" customHeight="1">
      <c r="A7" s="13" t="s">
        <v>9</v>
      </c>
      <c r="B7" s="36"/>
      <c r="C7" s="37"/>
      <c r="D7" s="36"/>
      <c r="E7" s="36"/>
      <c r="F7" s="36"/>
      <c r="H7" s="26" t="str">
        <f ca="1">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row>
    <row r="8" spans="1:50" s="45" customFormat="1" ht="30" customHeight="1">
      <c r="A8" s="14"/>
      <c r="B8" s="39" t="s">
        <v>10</v>
      </c>
      <c r="C8" s="40"/>
      <c r="D8" s="41"/>
      <c r="E8" s="42"/>
      <c r="F8" s="43"/>
      <c r="G8" s="17"/>
      <c r="H8" s="5" t="str">
        <f t="shared" ref="H8:H33" ca="1" si="3">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row>
    <row r="9" spans="1:50" s="45" customFormat="1" ht="30" customHeight="1">
      <c r="A9" s="14"/>
      <c r="B9" s="46" t="s">
        <v>11</v>
      </c>
      <c r="C9" s="47" t="s">
        <v>12</v>
      </c>
      <c r="D9" s="48">
        <v>0.5</v>
      </c>
      <c r="E9" s="49">
        <f>Project_Start</f>
        <v>46097</v>
      </c>
      <c r="F9" s="49">
        <f>E9+3</f>
        <v>46100</v>
      </c>
      <c r="G9" s="17"/>
      <c r="H9" s="5">
        <f t="shared" ca="1" si="3"/>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row>
    <row r="10" spans="1:50" s="45" customFormat="1" ht="30" customHeight="1">
      <c r="A10" s="14"/>
      <c r="B10" s="51" t="s">
        <v>13</v>
      </c>
      <c r="C10" s="52" t="s">
        <v>14</v>
      </c>
      <c r="D10" s="53">
        <v>0.6</v>
      </c>
      <c r="E10" s="54">
        <f>F9</f>
        <v>46100</v>
      </c>
      <c r="F10" s="54">
        <f>E10+2</f>
        <v>46102</v>
      </c>
      <c r="G10" s="17"/>
      <c r="H10" s="5">
        <f t="shared" ca="1" si="3"/>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row>
    <row r="11" spans="1:50" s="45" customFormat="1" ht="30" customHeight="1">
      <c r="A11" s="13"/>
      <c r="B11" s="51" t="s">
        <v>15</v>
      </c>
      <c r="C11" s="52" t="s">
        <v>16</v>
      </c>
      <c r="D11" s="53">
        <v>0.5</v>
      </c>
      <c r="E11" s="54">
        <f>F10</f>
        <v>46102</v>
      </c>
      <c r="F11" s="54">
        <f>E11+4</f>
        <v>46106</v>
      </c>
      <c r="G11" s="17"/>
      <c r="H11" s="5">
        <f t="shared" ca="1" si="3"/>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row>
    <row r="12" spans="1:50" s="45" customFormat="1" ht="30" customHeight="1">
      <c r="A12" s="13"/>
      <c r="B12" s="51" t="s">
        <v>17</v>
      </c>
      <c r="C12" s="52" t="s">
        <v>18</v>
      </c>
      <c r="D12" s="53">
        <v>0.25</v>
      </c>
      <c r="E12" s="54">
        <f>F11</f>
        <v>46106</v>
      </c>
      <c r="F12" s="54">
        <f>E12+5</f>
        <v>46111</v>
      </c>
      <c r="G12" s="17"/>
      <c r="H12" s="5">
        <f t="shared" ca="1" si="3"/>
        <v>6</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row>
    <row r="13" spans="1:50" s="45" customFormat="1" ht="30" customHeight="1">
      <c r="A13" s="13"/>
      <c r="B13" s="51" t="s">
        <v>19</v>
      </c>
      <c r="C13" s="52" t="s">
        <v>20</v>
      </c>
      <c r="D13" s="53"/>
      <c r="E13" s="54">
        <f>E10+1</f>
        <v>46101</v>
      </c>
      <c r="F13" s="54">
        <f>E13+2</f>
        <v>46103</v>
      </c>
      <c r="G13" s="17"/>
      <c r="H13" s="5">
        <f t="shared" ca="1" si="3"/>
        <v>3</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row>
    <row r="14" spans="1:50" s="45" customFormat="1" ht="30" customHeight="1">
      <c r="A14" s="14"/>
      <c r="B14" s="56" t="s">
        <v>21</v>
      </c>
      <c r="C14" s="57"/>
      <c r="D14" s="58"/>
      <c r="E14" s="59"/>
      <c r="F14" s="60"/>
      <c r="G14" s="17"/>
      <c r="H14" s="5" t="str">
        <f t="shared" ca="1" si="3"/>
        <v/>
      </c>
    </row>
    <row r="15" spans="1:50" s="45" customFormat="1" ht="30" customHeight="1">
      <c r="A15" s="14"/>
      <c r="B15" s="61" t="s">
        <v>22</v>
      </c>
      <c r="C15" s="62" t="s">
        <v>12</v>
      </c>
      <c r="D15" s="63">
        <v>0.5</v>
      </c>
      <c r="E15" s="64">
        <f>E13+1</f>
        <v>46102</v>
      </c>
      <c r="F15" s="64">
        <f>E15+4</f>
        <v>46106</v>
      </c>
      <c r="G15" s="17"/>
      <c r="H15" s="5">
        <f t="shared" ca="1" si="3"/>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row>
    <row r="16" spans="1:50" s="45" customFormat="1" ht="30" customHeight="1">
      <c r="A16" s="13"/>
      <c r="B16" s="61" t="s">
        <v>23</v>
      </c>
      <c r="C16" s="62" t="s">
        <v>14</v>
      </c>
      <c r="D16" s="63">
        <v>0.5</v>
      </c>
      <c r="E16" s="64">
        <f>E15+2</f>
        <v>46104</v>
      </c>
      <c r="F16" s="64">
        <f>E16+5</f>
        <v>46109</v>
      </c>
      <c r="G16" s="17"/>
      <c r="H16" s="5">
        <f t="shared" ca="1" si="3"/>
        <v>6</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row>
    <row r="17" spans="1:50" s="45" customFormat="1" ht="30" customHeight="1">
      <c r="A17" s="13"/>
      <c r="B17" s="61" t="s">
        <v>24</v>
      </c>
      <c r="C17" s="62" t="s">
        <v>16</v>
      </c>
      <c r="D17" s="63">
        <v>0.4</v>
      </c>
      <c r="E17" s="64">
        <f>F16</f>
        <v>46109</v>
      </c>
      <c r="F17" s="64">
        <f>E17+3</f>
        <v>46112</v>
      </c>
      <c r="G17" s="17"/>
      <c r="H17" s="5">
        <f t="shared" ca="1" si="3"/>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row>
    <row r="18" spans="1:50" s="45" customFormat="1" ht="30" customHeight="1">
      <c r="A18" s="13"/>
      <c r="B18" s="61" t="s">
        <v>25</v>
      </c>
      <c r="C18" s="62" t="s">
        <v>18</v>
      </c>
      <c r="D18" s="63"/>
      <c r="E18" s="64">
        <f>E17</f>
        <v>46109</v>
      </c>
      <c r="F18" s="64">
        <f>E18+2</f>
        <v>46111</v>
      </c>
      <c r="G18" s="17"/>
      <c r="H18" s="5">
        <f t="shared" ca="1" si="3"/>
        <v>3</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row>
    <row r="19" spans="1:50" s="45" customFormat="1" ht="30" customHeight="1">
      <c r="A19" s="13"/>
      <c r="B19" s="61" t="s">
        <v>26</v>
      </c>
      <c r="C19" s="62" t="s">
        <v>20</v>
      </c>
      <c r="D19" s="63"/>
      <c r="E19" s="64">
        <f>E18</f>
        <v>46109</v>
      </c>
      <c r="F19" s="64">
        <f>E19+3</f>
        <v>46112</v>
      </c>
      <c r="G19" s="17"/>
      <c r="H19" s="5">
        <f t="shared" ca="1" si="3"/>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row>
    <row r="20" spans="1:50" s="45" customFormat="1" ht="30" customHeight="1">
      <c r="A20" s="13"/>
      <c r="B20" s="65" t="s">
        <v>27</v>
      </c>
      <c r="C20" s="66"/>
      <c r="D20" s="67"/>
      <c r="E20" s="68"/>
      <c r="F20" s="69"/>
      <c r="G20" s="17"/>
      <c r="H20" s="5" t="str">
        <f t="shared" ca="1" si="3"/>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row>
    <row r="21" spans="1:50" s="45" customFormat="1" ht="30" customHeight="1">
      <c r="A21" s="13"/>
      <c r="B21" s="71" t="s">
        <v>28</v>
      </c>
      <c r="C21" s="72" t="s">
        <v>12</v>
      </c>
      <c r="D21" s="73">
        <v>0.5</v>
      </c>
      <c r="E21" s="74">
        <f>E9+15</f>
        <v>46112</v>
      </c>
      <c r="F21" s="74">
        <f>E21+5</f>
        <v>46117</v>
      </c>
      <c r="G21" s="17"/>
      <c r="H21" s="5">
        <f t="shared" ca="1" si="3"/>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row>
    <row r="22" spans="1:50" s="45" customFormat="1" ht="30" customHeight="1">
      <c r="A22" s="13"/>
      <c r="B22" s="71" t="s">
        <v>29</v>
      </c>
      <c r="C22" s="72" t="s">
        <v>14</v>
      </c>
      <c r="D22" s="73">
        <v>0.6</v>
      </c>
      <c r="E22" s="74">
        <f>F21+1</f>
        <v>46118</v>
      </c>
      <c r="F22" s="74">
        <f>E22+4</f>
        <v>46122</v>
      </c>
      <c r="G22" s="17"/>
      <c r="H22" s="5">
        <f t="shared" ca="1" si="3"/>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row>
    <row r="23" spans="1:50" s="45" customFormat="1" ht="30" customHeight="1">
      <c r="A23" s="13"/>
      <c r="B23" s="71" t="s">
        <v>30</v>
      </c>
      <c r="C23" s="72" t="s">
        <v>16</v>
      </c>
      <c r="D23" s="73">
        <v>0.5</v>
      </c>
      <c r="E23" s="74">
        <f>E22+5</f>
        <v>46123</v>
      </c>
      <c r="F23" s="74">
        <f>E23+5</f>
        <v>46128</v>
      </c>
      <c r="G23" s="17"/>
      <c r="H23" s="5">
        <f t="shared" ca="1" si="3"/>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row>
    <row r="24" spans="1:50" s="45" customFormat="1" ht="30" customHeight="1">
      <c r="A24" s="13"/>
      <c r="B24" s="71" t="s">
        <v>31</v>
      </c>
      <c r="C24" s="72" t="s">
        <v>18</v>
      </c>
      <c r="D24" s="73">
        <v>0.25</v>
      </c>
      <c r="E24" s="74">
        <f>F23+1</f>
        <v>46129</v>
      </c>
      <c r="F24" s="74">
        <f>E24+4</f>
        <v>46133</v>
      </c>
      <c r="G24" s="17"/>
      <c r="H24" s="5">
        <f t="shared" ca="1" si="3"/>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row>
    <row r="25" spans="1:50" s="45" customFormat="1" ht="30" customHeight="1">
      <c r="A25" s="13"/>
      <c r="B25" s="71" t="s">
        <v>32</v>
      </c>
      <c r="C25" s="72" t="s">
        <v>20</v>
      </c>
      <c r="D25" s="73">
        <v>0.25</v>
      </c>
      <c r="E25" s="74">
        <f>E23</f>
        <v>46123</v>
      </c>
      <c r="F25" s="74">
        <f>E25+4</f>
        <v>46127</v>
      </c>
      <c r="G25" s="17"/>
      <c r="H25" s="5">
        <f t="shared" ca="1" si="3"/>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row>
    <row r="26" spans="1:50" s="45" customFormat="1" ht="30" customHeight="1">
      <c r="A26" s="13"/>
      <c r="B26" s="75" t="s">
        <v>33</v>
      </c>
      <c r="C26" s="76"/>
      <c r="D26" s="77"/>
      <c r="E26" s="78"/>
      <c r="F26" s="79"/>
      <c r="G26" s="17"/>
      <c r="H26" s="5" t="str">
        <f t="shared" ca="1" si="3"/>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row>
    <row r="27" spans="1:50" s="45" customFormat="1" ht="30" customHeight="1">
      <c r="A27" s="13"/>
      <c r="B27" s="81" t="s">
        <v>34</v>
      </c>
      <c r="C27" s="82" t="s">
        <v>12</v>
      </c>
      <c r="D27" s="83">
        <v>0</v>
      </c>
      <c r="E27" s="84"/>
      <c r="F27" s="84"/>
      <c r="G27" s="17"/>
      <c r="H27" s="5" t="str">
        <f t="shared" ca="1" si="3"/>
        <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row>
    <row r="28" spans="1:50" s="45" customFormat="1" ht="30" customHeight="1">
      <c r="A28" s="13"/>
      <c r="B28" s="81" t="s">
        <v>35</v>
      </c>
      <c r="C28" s="82" t="s">
        <v>14</v>
      </c>
      <c r="D28" s="83">
        <v>0</v>
      </c>
      <c r="E28" s="84"/>
      <c r="F28" s="84"/>
      <c r="G28" s="17"/>
      <c r="H28" s="5" t="str">
        <f t="shared" ca="1" si="3"/>
        <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row>
    <row r="29" spans="1:50" s="45" customFormat="1" ht="30" customHeight="1">
      <c r="A29" s="13"/>
      <c r="B29" s="81" t="s">
        <v>35</v>
      </c>
      <c r="C29" s="82" t="s">
        <v>16</v>
      </c>
      <c r="D29" s="83">
        <v>0</v>
      </c>
      <c r="E29" s="84"/>
      <c r="F29" s="84"/>
      <c r="G29" s="17"/>
      <c r="H29" s="5" t="str">
        <f t="shared" ca="1" si="3"/>
        <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row>
    <row r="30" spans="1:50" s="45" customFormat="1" ht="30" customHeight="1">
      <c r="A30" s="13"/>
      <c r="B30" s="81" t="s">
        <v>36</v>
      </c>
      <c r="C30" s="82" t="s">
        <v>18</v>
      </c>
      <c r="D30" s="83">
        <v>0</v>
      </c>
      <c r="E30" s="84"/>
      <c r="F30" s="84"/>
      <c r="G30" s="17"/>
      <c r="H30" s="5" t="str">
        <f t="shared" ca="1" si="3"/>
        <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row>
    <row r="31" spans="1:50" s="45" customFormat="1" ht="30" customHeight="1">
      <c r="A31" s="13"/>
      <c r="B31" s="81" t="s">
        <v>37</v>
      </c>
      <c r="C31" s="82" t="s">
        <v>20</v>
      </c>
      <c r="D31" s="83">
        <v>0</v>
      </c>
      <c r="E31" s="84"/>
      <c r="F31" s="84"/>
      <c r="G31" s="17"/>
      <c r="H31" s="5" t="str">
        <f t="shared" ca="1" si="3"/>
        <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row>
    <row r="32" spans="1:50" s="45" customFormat="1" ht="30" customHeight="1">
      <c r="A32" s="13"/>
      <c r="B32" s="85"/>
      <c r="C32" s="86"/>
      <c r="D32" s="87"/>
      <c r="E32" s="88"/>
      <c r="F32" s="88"/>
      <c r="G32" s="17"/>
      <c r="H32" s="5" t="str">
        <f t="shared" ca="1" si="3"/>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row>
    <row r="33" spans="1:50" s="45" customFormat="1" ht="30" customHeight="1">
      <c r="A33" s="14"/>
      <c r="B33" s="89" t="s">
        <v>38</v>
      </c>
      <c r="C33" s="90"/>
      <c r="D33" s="91"/>
      <c r="E33" s="92"/>
      <c r="F33" s="93"/>
      <c r="G33" s="17"/>
      <c r="H33" s="6" t="str">
        <f t="shared" ca="1" si="3"/>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row>
    <row r="34" spans="1:50" ht="30" customHeight="1">
      <c r="G34" s="3"/>
    </row>
    <row r="35" spans="1:50" ht="30" customHeight="1">
      <c r="C35" s="16"/>
      <c r="F35" s="15"/>
    </row>
    <row r="36" spans="1:50" ht="30" customHeight="1">
      <c r="C36" s="4"/>
    </row>
  </sheetData>
  <mergeCells count="16">
    <mergeCell ref="I4:O4"/>
    <mergeCell ref="P4:V4"/>
    <mergeCell ref="W4:AC4"/>
    <mergeCell ref="AD4:AJ4"/>
    <mergeCell ref="AK4:AQ4"/>
    <mergeCell ref="AR4:AX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AW13">
    <cfRule type="expression" dxfId="17" priority="6">
      <formula>AND(task_start&lt;=I$5,ROUNDDOWN((task_end-task_start+1)*task_progress,0)+task_start-1&gt;=I$5)</formula>
    </cfRule>
    <cfRule type="expression" dxfId="16" priority="7" stopIfTrue="1">
      <formula>AND(task_end&gt;=I$5,task_start&lt;J$5)</formula>
    </cfRule>
  </conditionalFormatting>
  <conditionalFormatting sqref="I15:AW19">
    <cfRule type="expression" dxfId="15" priority="4">
      <formula>AND(task_start&lt;=I$5,ROUNDDOWN((task_end-task_start+1)*task_progress,0)+task_start-1&gt;=I$5)</formula>
    </cfRule>
    <cfRule type="expression" dxfId="14" priority="5" stopIfTrue="1">
      <formula>AND(task_end&gt;=I$5,task_start&lt;J$5)</formula>
    </cfRule>
  </conditionalFormatting>
  <conditionalFormatting sqref="I21:AW25">
    <cfRule type="expression" dxfId="13" priority="2">
      <formula>AND(task_start&lt;=I$5,ROUNDDOWN((task_end-task_start+1)*task_progress,0)+task_start-1&gt;=I$5)</formula>
    </cfRule>
    <cfRule type="expression" dxfId="12" priority="3" stopIfTrue="1">
      <formula>AND(task_end&gt;=I$5,task_start&lt;J$5)</formula>
    </cfRule>
  </conditionalFormatting>
  <conditionalFormatting sqref="I27:AW31">
    <cfRule type="expression" dxfId="11" priority="36">
      <formula>AND(task_start&lt;=I$5,ROUNDDOWN((task_end-task_start+1)*task_progress,0)+task_start-1&gt;=I$5)</formula>
    </cfRule>
    <cfRule type="expression" dxfId="10" priority="37" stopIfTrue="1">
      <formula>AND(task_end&gt;=I$5,task_start&lt;J$5)</formula>
    </cfRule>
  </conditionalFormatting>
  <conditionalFormatting sqref="I4:AW31">
    <cfRule type="expression" dxfId="9" priority="1">
      <formula>AND(TODAY()&gt;=I$5, TODAY()&lt;J$5)</formula>
    </cfRule>
  </conditionalFormatting>
  <conditionalFormatting sqref="AX9:AX13">
    <cfRule type="expression" dxfId="8" priority="40">
      <formula>AND(task_start&lt;=AX$5,ROUNDDOWN((task_end-task_start+1)*task_progress,0)+task_start-1&gt;=AX$5)</formula>
    </cfRule>
    <cfRule type="expression" dxfId="7" priority="41" stopIfTrue="1">
      <formula>AND(task_end&gt;=AX$5,task_start&lt;#REF!)</formula>
    </cfRule>
  </conditionalFormatting>
  <conditionalFormatting sqref="AX15:AX19">
    <cfRule type="expression" dxfId="6" priority="44">
      <formula>AND(task_start&lt;=AX$5,ROUNDDOWN((task_end-task_start+1)*task_progress,0)+task_start-1&gt;=AX$5)</formula>
    </cfRule>
    <cfRule type="expression" dxfId="5" priority="45" stopIfTrue="1">
      <formula>AND(task_end&gt;=AX$5,task_start&lt;#REF!)</formula>
    </cfRule>
  </conditionalFormatting>
  <conditionalFormatting sqref="AX21:AX25">
    <cfRule type="expression" dxfId="4" priority="48">
      <formula>AND(task_start&lt;=AX$5,ROUNDDOWN((task_end-task_start+1)*task_progress,0)+task_start-1&gt;=AX$5)</formula>
    </cfRule>
    <cfRule type="expression" dxfId="3" priority="49" stopIfTrue="1">
      <formula>AND(task_end&gt;=AX$5,task_start&lt;#REF!)</formula>
    </cfRule>
  </conditionalFormatting>
  <conditionalFormatting sqref="AX27:AX31">
    <cfRule type="expression" dxfId="2" priority="52">
      <formula>AND(task_start&lt;=AX$5,ROUNDDOWN((task_end-task_start+1)*task_progress,0)+task_start-1&gt;=AX$5)</formula>
    </cfRule>
    <cfRule type="expression" dxfId="1" priority="53" stopIfTrue="1">
      <formula>AND(task_end&gt;=AX$5,task_start&lt;#REF!)</formula>
    </cfRule>
  </conditionalFormatting>
  <conditionalFormatting sqref="AX4:AX31">
    <cfRule type="expression" dxfId="0" priority="55">
      <formula>AND(TODAY()&gt;=AX$5, TODAY()&lt;#REF!)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8" t="s">
        <v>39</v>
      </c>
      <c r="B2" s="8"/>
    </row>
    <row r="3" spans="1:2" s="11" customFormat="1" ht="27" customHeight="1">
      <c r="A3" s="99"/>
      <c r="B3" s="12"/>
    </row>
    <row r="4" spans="1:2" s="10" customFormat="1" ht="30">
      <c r="A4" s="100" t="s">
        <v>40</v>
      </c>
    </row>
    <row r="5" spans="1:2" ht="74.25" customHeight="1">
      <c r="A5" s="101" t="s">
        <v>41</v>
      </c>
    </row>
    <row r="6" spans="1:2" ht="26.25" customHeight="1">
      <c r="A6" s="100" t="s">
        <v>42</v>
      </c>
    </row>
    <row r="7" spans="1:2" s="7" customFormat="1" ht="205.15" customHeight="1">
      <c r="A7" s="102" t="s">
        <v>43</v>
      </c>
    </row>
    <row r="8" spans="1:2" s="10" customFormat="1" ht="30">
      <c r="A8" s="100" t="s">
        <v>44</v>
      </c>
    </row>
    <row r="9" spans="1:2" ht="41.45">
      <c r="A9" s="101" t="s">
        <v>45</v>
      </c>
    </row>
    <row r="10" spans="1:2" s="7" customFormat="1" ht="28.15" customHeight="1">
      <c r="A10" s="103" t="s">
        <v>46</v>
      </c>
    </row>
    <row r="11" spans="1:2" s="10" customFormat="1" ht="30">
      <c r="A11" s="100" t="s">
        <v>47</v>
      </c>
    </row>
    <row r="12" spans="1:2" ht="27.6">
      <c r="A12" s="101" t="s">
        <v>48</v>
      </c>
    </row>
    <row r="13" spans="1:2" s="7" customFormat="1" ht="28.15" customHeight="1">
      <c r="A13" s="103" t="s">
        <v>49</v>
      </c>
    </row>
    <row r="14" spans="1:2" s="10" customFormat="1" ht="30">
      <c r="A14" s="100" t="s">
        <v>50</v>
      </c>
    </row>
    <row r="15" spans="1:2" ht="75" customHeight="1">
      <c r="A15" s="101" t="s">
        <v>51</v>
      </c>
    </row>
    <row r="16" spans="1:2" ht="69">
      <c r="A16" s="101" t="s">
        <v>52</v>
      </c>
    </row>
    <row r="17" spans="1:1">
      <c r="A17" s="104"/>
    </row>
    <row r="18" spans="1:1">
      <c r="A18" s="104"/>
    </row>
    <row r="19" spans="1:1">
      <c r="A19" s="104"/>
    </row>
    <row r="20" spans="1:1">
      <c r="A20" s="104"/>
    </row>
    <row r="21" spans="1:1">
      <c r="A21" s="104"/>
    </row>
    <row r="22" spans="1:1">
      <c r="A22" s="104"/>
    </row>
    <row r="23" spans="1:1">
      <c r="A23" s="104"/>
    </row>
    <row r="24" spans="1:1">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Kim, Seonwoo</cp:lastModifiedBy>
  <cp:revision/>
  <dcterms:created xsi:type="dcterms:W3CDTF">2026-04-07T18:39:00Z</dcterms:created>
  <dcterms:modified xsi:type="dcterms:W3CDTF">2026-04-07T18:55:17Z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